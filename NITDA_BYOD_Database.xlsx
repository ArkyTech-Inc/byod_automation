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otol\OneDrive\Documents\work\"/>
    </mc:Choice>
  </mc:AlternateContent>
  <xr:revisionPtr revIDLastSave="0" documentId="13_ncr:1_{0B8CE602-D77F-482A-AD53-1BB505BB32BC}" xr6:coauthVersionLast="47" xr6:coauthVersionMax="47" xr10:uidLastSave="{00000000-0000-0000-0000-000000000000}"/>
  <bookViews>
    <workbookView xWindow="-110" yWindow="-110" windowWidth="19420" windowHeight="11020" firstSheet="2" activeTab="5" xr2:uid="{00000000-000D-0000-FFFF-FFFF00000000}"/>
  </bookViews>
  <sheets>
    <sheet name="Device Registrations" sheetId="1" r:id="rId1"/>
    <sheet name="IT Inspection" sheetId="2" r:id="rId2"/>
    <sheet name="Security Gate Log" sheetId="3" r:id="rId3"/>
    <sheet name="Dashboard" sheetId="4" r:id="rId4"/>
    <sheet name="Automation Settings" sheetId="5" r:id="rId5"/>
    <sheet name="Email Templates" sheetId="6" r:id="rId6"/>
    <sheet name="Sheet1"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4" l="1"/>
  <c r="B22" i="4"/>
  <c r="B21" i="4"/>
  <c r="B20" i="4"/>
  <c r="B19" i="4"/>
  <c r="B18" i="4"/>
  <c r="B17" i="4"/>
  <c r="B12" i="4"/>
  <c r="B11" i="4"/>
  <c r="B10" i="4"/>
  <c r="B9" i="4"/>
  <c r="B8" i="4"/>
  <c r="B7" i="4"/>
  <c r="B6" i="4"/>
  <c r="B5" i="4"/>
  <c r="B4" i="4"/>
  <c r="B3" i="4"/>
</calcChain>
</file>

<file path=xl/sharedStrings.xml><?xml version="1.0" encoding="utf-8"?>
<sst xmlns="http://schemas.openxmlformats.org/spreadsheetml/2006/main" count="225" uniqueCount="163">
  <si>
    <t>Registration ID</t>
  </si>
  <si>
    <t>Name</t>
  </si>
  <si>
    <t>Device Model</t>
  </si>
  <si>
    <t>Serial Number</t>
  </si>
  <si>
    <t>Inspection ID</t>
  </si>
  <si>
    <t>Inspection Date</t>
  </si>
  <si>
    <t>Inspected By</t>
  </si>
  <si>
    <t>OS Updated</t>
  </si>
  <si>
    <t>Anti-malware Installed</t>
  </si>
  <si>
    <t>Device Encrypted</t>
  </si>
  <si>
    <t>Remote Wipe Enabled</t>
  </si>
  <si>
    <t>Secure Access Configured</t>
  </si>
  <si>
    <t>No Unauthorized Apps</t>
  </si>
  <si>
    <t>Compliance Status</t>
  </si>
  <si>
    <t>Remarks</t>
  </si>
  <si>
    <t>QR Code Generated</t>
  </si>
  <si>
    <t>Pass Issued Date</t>
  </si>
  <si>
    <t>Timestamp</t>
  </si>
  <si>
    <t>Department</t>
  </si>
  <si>
    <t>Classification</t>
  </si>
  <si>
    <t>Device Type</t>
  </si>
  <si>
    <t>Device Make/Model</t>
  </si>
  <si>
    <t>Operating System</t>
  </si>
  <si>
    <t>MAC Address</t>
  </si>
  <si>
    <t>Email</t>
  </si>
  <si>
    <t>Phone</t>
  </si>
  <si>
    <t>Supervisor Name</t>
  </si>
  <si>
    <t>Supervisor Email</t>
  </si>
  <si>
    <t>Status</t>
  </si>
  <si>
    <t>Approved By</t>
  </si>
  <si>
    <t>Approval Date</t>
  </si>
  <si>
    <t>Admin Remarks</t>
  </si>
  <si>
    <t>BYOD-2026000001</t>
  </si>
  <si>
    <t>Abdulhaqq Motolani Somoye</t>
  </si>
  <si>
    <t>EGDED</t>
  </si>
  <si>
    <t>Laptop</t>
  </si>
  <si>
    <t>HP</t>
  </si>
  <si>
    <t>Windows</t>
  </si>
  <si>
    <t>E8:FB:1C:F7:D1:E5</t>
  </si>
  <si>
    <t>motolanisomoye@gmail.com</t>
  </si>
  <si>
    <t>08103312462</t>
  </si>
  <si>
    <t>arkytechng@gmail.com</t>
  </si>
  <si>
    <t>Pending</t>
  </si>
  <si>
    <t>Emails Sent</t>
  </si>
  <si>
    <t>BYOD-2026000002</t>
  </si>
  <si>
    <t>DLCB</t>
  </si>
  <si>
    <t>Arky</t>
  </si>
  <si>
    <t>NITDA BYOD MANAGEMENT DASHBOARD</t>
  </si>
  <si>
    <t>Total Registrations</t>
  </si>
  <si>
    <t>Pending Approval</t>
  </si>
  <si>
    <t>Approved Devices</t>
  </si>
  <si>
    <t>Rejected Devices</t>
  </si>
  <si>
    <t>IT Inspections Completed</t>
  </si>
  <si>
    <t>Compliant Devices</t>
  </si>
  <si>
    <t>Non-Compliant Devices</t>
  </si>
  <si>
    <t>QR Codes Generated</t>
  </si>
  <si>
    <t>Total Gate Logs Today</t>
  </si>
  <si>
    <t>Devices Currently Inside</t>
  </si>
  <si>
    <t>DEPARTMENT BREAKDOWN</t>
  </si>
  <si>
    <t>Total Devices</t>
  </si>
  <si>
    <t>ITIS</t>
  </si>
  <si>
    <t>Admin</t>
  </si>
  <si>
    <t>Finance</t>
  </si>
  <si>
    <t>HR</t>
  </si>
  <si>
    <t>Legal</t>
  </si>
  <si>
    <t>AUTOMATION CONFIGURATION</t>
  </si>
  <si>
    <t>Email Settings</t>
  </si>
  <si>
    <t>SMTP Server</t>
  </si>
  <si>
    <t>smtp.gmail.com</t>
  </si>
  <si>
    <t>Gmail SMTP server</t>
  </si>
  <si>
    <t>SMTP Port</t>
  </si>
  <si>
    <t>TLS port</t>
  </si>
  <si>
    <t>Sender Email</t>
  </si>
  <si>
    <t>System email address</t>
  </si>
  <si>
    <t>IT Department Settings</t>
  </si>
  <si>
    <t>IT Email</t>
  </si>
  <si>
    <t>somoye2000@gmail.com</t>
  </si>
  <si>
    <t>IT inspection notifications</t>
  </si>
  <si>
    <t>Inspection Lead Time (days)</t>
  </si>
  <si>
    <t>2</t>
  </si>
  <si>
    <t>Days to schedule inspection</t>
  </si>
  <si>
    <t>QR Code Settings</t>
  </si>
  <si>
    <t>QR Code Size</t>
  </si>
  <si>
    <t>Pixels</t>
  </si>
  <si>
    <t>QR Code Error Correction</t>
  </si>
  <si>
    <t>H</t>
  </si>
  <si>
    <t>High error correction</t>
  </si>
  <si>
    <t>Auto-Approval Settings</t>
  </si>
  <si>
    <t>Auto-approve Staff</t>
  </si>
  <si>
    <t>No</t>
  </si>
  <si>
    <t>Auto-approve staff devices</t>
  </si>
  <si>
    <t>Require Supervisor Endorsement</t>
  </si>
  <si>
    <t>Yes</t>
  </si>
  <si>
    <t>Supervisor must endorse registrations</t>
  </si>
  <si>
    <t>EMAIL TEMPLATES</t>
  </si>
  <si>
    <t>Template Name</t>
  </si>
  <si>
    <t>Subject</t>
  </si>
  <si>
    <t>Body</t>
  </si>
  <si>
    <t>Registration Confirmation</t>
  </si>
  <si>
    <t>BYOD Registration Received - {registration_id}</t>
  </si>
  <si>
    <t>Dear {name},
Your BYOD registration has been received successfully.
Registration ID: {registration_id}
Device: {device_model}
Date: {date}
Your application is now pending supervisor endorsement. You will receive a notification once your supervisor reviews your application.
Please ensure your device meets all security requirements as outlined in the BYOD policy.
Best regards,
NITDA Admin Team</t>
  </si>
  <si>
    <t>Supervisor Approval Request</t>
  </si>
  <si>
    <t>BYOD Endorsement Required - {name}</t>
  </si>
  <si>
    <t>Dear {supervisor_name},
A new BYOD registration requires your endorsement.
Intern's Name: {name}
Department: {department}
Device: {device_model}
Registration ID: {registration_id}
Please review and approve/reject this registration in the BYOD system.
Link: [Dashboard Link]
Best regards,
NITDA BYOD System</t>
  </si>
  <si>
    <t>Admin Approval Notification</t>
  </si>
  <si>
    <t>BYOD Approved - Schedule IT Inspection</t>
  </si>
  <si>
    <t>Dear {name},
Your BYOD registration has been endorsed by your supervisor.
Registration ID: {registration_id}
Device: {device_model}
Next Steps:
1. The IT department will contact you within 2 business days
2. Bring your device for security compliance inspection
3. Upon passing inspection, you will receive your QR code pass
Best regards,
NITDA Admin Team</t>
  </si>
  <si>
    <t>IT Inspection Schedule</t>
  </si>
  <si>
    <t>BYOD Security Inspection - {registration_id}</t>
  </si>
  <si>
    <t>Dear {name},
Please bring your device for security compliance inspection.
Registration ID: {registration_id}
Device: {device_model}
Scheduled Date: {inspection_date}
Location: IT Department, 2nd Floor
Requirements to Check:
- OS is updated
- Anti-malware installed
- Device encryption enabled
- Screen lock configured
- No unauthorized apps
Please contact IT at motolanisomoye@gmail.com if you need to reschedule.
Best regards,
NITDA IT Department</t>
  </si>
  <si>
    <t>QR Code Pass Issued</t>
  </si>
  <si>
    <t>BYOD Pass Issued - {registration_id}</t>
  </si>
  <si>
    <t>Dear {name},
Congratulations! Your device has passed security inspection.
Registration ID: {registration_id}
Device: {device_model}
Inspection Status: COMPLIANT
Your QR code pass is attached to this email. Please:
1. Save the QR code on your phone
2. Print a copy for backup
3. Present the QR code at security gate when bringing your device
The QR code contains all your device information for quick verification.
Best regards,
NITDA IT Department</t>
  </si>
  <si>
    <t>2/17/2026 11:58:33</t>
  </si>
  <si>
    <t>1234567</t>
  </si>
  <si>
    <t>Mr Abdulhaqq</t>
  </si>
  <si>
    <t>2/16/2026 13:22:57</t>
  </si>
  <si>
    <t>fyujdyfe</t>
  </si>
  <si>
    <t xml:space="preserve">hp </t>
  </si>
  <si>
    <t>cvgbhn</t>
  </si>
  <si>
    <t>dfghj</t>
  </si>
  <si>
    <t>xfcgvn</t>
  </si>
  <si>
    <t>mufydweinberg@gmail.com</t>
  </si>
  <si>
    <t>08cghbgku</t>
  </si>
  <si>
    <t>ftyytsjlj</t>
  </si>
  <si>
    <t>mufydah358@gmail.com</t>
  </si>
  <si>
    <t>BYOD-2026000003</t>
  </si>
  <si>
    <t>2/16/2026 13:29:13</t>
  </si>
  <si>
    <t>p;ogxe</t>
  </si>
  <si>
    <t>ASDFGHJ</t>
  </si>
  <si>
    <t>sdfgfhjk</t>
  </si>
  <si>
    <t>dsfgfhj</t>
  </si>
  <si>
    <t>sdfhj</t>
  </si>
  <si>
    <t>arkytechnge@gmail.com</t>
  </si>
  <si>
    <t>['okj</t>
  </si>
  <si>
    <t>;jihu</t>
  </si>
  <si>
    <t>somoye200@gmail.com</t>
  </si>
  <si>
    <t>3/30/2026 10:43:54</t>
  </si>
  <si>
    <t>Motolani Somoye</t>
  </si>
  <si>
    <t>5CG2284ZIJ</t>
  </si>
  <si>
    <t>Mr Somoye</t>
  </si>
  <si>
    <t>3/30/2026 10:57:09</t>
  </si>
  <si>
    <t>Abdulhaqq Somoye</t>
  </si>
  <si>
    <t>CS</t>
  </si>
  <si>
    <t>12345678</t>
  </si>
  <si>
    <t>1234567890</t>
  </si>
  <si>
    <t>081011122211</t>
  </si>
  <si>
    <t>Tolani</t>
  </si>
  <si>
    <t>3/30/2026 11:25:05</t>
  </si>
  <si>
    <t>Damilola</t>
  </si>
  <si>
    <t>LEGAL</t>
  </si>
  <si>
    <t>Mac</t>
  </si>
  <si>
    <t>123456789</t>
  </si>
  <si>
    <t>Somoye</t>
  </si>
  <si>
    <t>BYOD-2026000004</t>
  </si>
  <si>
    <t>3/30/2026 12:08:47</t>
  </si>
  <si>
    <t>WINDOWS</t>
  </si>
  <si>
    <t>099000</t>
  </si>
  <si>
    <t>Abdulhaqq</t>
  </si>
  <si>
    <t>BYOD-2026000005</t>
  </si>
  <si>
    <t>3/30/2026 15:31:42</t>
  </si>
  <si>
    <t>Somoye Abdulhaqq Motolani</t>
  </si>
  <si>
    <t>Abdul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</si>
</sst>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6"/>
      <color rgb="FF00A86B"/>
      <name val="Calibri"/>
    </font>
    <font>
      <b/>
      <sz val="11"/>
      <name val="Calibri"/>
    </font>
    <font>
      <b/>
      <sz val="14"/>
      <color rgb="FF00A86B"/>
      <name val="Calibri"/>
    </font>
    <font>
      <b/>
      <sz val="12"/>
      <color rgb="FF00A86B"/>
      <name val="Calibri"/>
    </font>
    <font>
      <b/>
      <sz val="11"/>
      <name val="Calibri"/>
    </font>
    <font>
      <sz val="11"/>
      <name val="Calibri"/>
    </font>
    <font>
      <u/>
      <sz val="11"/>
      <color theme="10"/>
      <name val="Calibri"/>
      <family val="2"/>
      <scheme val="minor"/>
    </font>
  </fonts>
  <fills count="4">
    <fill>
      <patternFill patternType="none"/>
    </fill>
    <fill>
      <patternFill patternType="gray125"/>
    </fill>
    <fill>
      <patternFill patternType="solid">
        <fgColor rgb="FF00A86B"/>
        <bgColor rgb="FF00A86B"/>
      </patternFill>
    </fill>
    <fill>
      <patternFill patternType="solid">
        <fgColor rgb="FFE8F5F0"/>
        <bgColor rgb="FFE8F5F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18">
    <xf numFmtId="0" fontId="0" fillId="0" borderId="0" xfId="0"/>
    <xf numFmtId="0" fontId="1" fillId="2" borderId="1" xfId="0" applyFont="1" applyFill="1" applyBorder="1" applyAlignment="1">
      <alignment horizontal="center" vertical="center" wrapText="1"/>
    </xf>
    <xf numFmtId="0" fontId="3" fillId="0" borderId="0" xfId="0" applyFont="1" applyAlignment="1">
      <alignment horizontal="left" vertical="center"/>
    </xf>
    <xf numFmtId="0" fontId="4" fillId="3" borderId="1" xfId="0" applyFont="1" applyFill="1" applyBorder="1" applyAlignment="1">
      <alignment horizontal="center" vertical="center"/>
    </xf>
    <xf numFmtId="0" fontId="5" fillId="0" borderId="0" xfId="0" applyFont="1"/>
    <xf numFmtId="0" fontId="6" fillId="0" borderId="0" xfId="0" applyFont="1"/>
    <xf numFmtId="0" fontId="0" fillId="0" borderId="0" xfId="0" applyAlignment="1">
      <alignment horizontal="center"/>
    </xf>
    <xf numFmtId="0" fontId="4" fillId="0" borderId="0" xfId="0" applyFont="1"/>
    <xf numFmtId="0" fontId="3" fillId="0" borderId="0" xfId="0" applyFont="1"/>
    <xf numFmtId="0" fontId="7" fillId="0" borderId="0" xfId="0" applyFont="1"/>
    <xf numFmtId="0" fontId="0" fillId="3" borderId="0" xfId="0" applyFill="1"/>
    <xf numFmtId="0" fontId="1" fillId="2" borderId="1" xfId="0" applyFont="1" applyFill="1" applyBorder="1" applyAlignment="1">
      <alignment vertical="top" wrapText="1"/>
    </xf>
    <xf numFmtId="0" fontId="0" fillId="0" borderId="1" xfId="0" applyBorder="1" applyAlignment="1">
      <alignment vertical="top" wrapText="1"/>
    </xf>
    <xf numFmtId="0" fontId="8" fillId="0" borderId="0" xfId="1"/>
    <xf numFmtId="1" fontId="0" fillId="3" borderId="0" xfId="0" applyNumberFormat="1" applyFill="1"/>
    <xf numFmtId="0" fontId="2" fillId="0" borderId="0" xfId="0" applyFont="1" applyAlignment="1">
      <alignment horizontal="center" vertical="center"/>
    </xf>
    <xf numFmtId="0" fontId="0" fillId="0" borderId="0" xfId="0"/>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mailto:motolanisomoye@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mufydah35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
  <sheetViews>
    <sheetView workbookViewId="0">
      <selection activeCell="A2" sqref="A2:XFD5"/>
    </sheetView>
  </sheetViews>
  <sheetFormatPr defaultRowHeight="14.5" x14ac:dyDescent="0.35"/>
  <cols>
    <col min="1" max="1" width="15" customWidth="1"/>
    <col min="2" max="2" width="18" customWidth="1"/>
    <col min="3" max="3" width="20" customWidth="1"/>
    <col min="4" max="6" width="12" customWidth="1"/>
    <col min="7" max="7" width="18" customWidth="1"/>
    <col min="8" max="8" width="15" customWidth="1"/>
    <col min="9" max="9" width="18" customWidth="1"/>
    <col min="10" max="10" width="15" customWidth="1"/>
    <col min="11" max="11" width="25" customWidth="1"/>
    <col min="12" max="12" width="15" customWidth="1"/>
    <col min="13" max="13" width="20" customWidth="1"/>
    <col min="14" max="14" width="25" customWidth="1"/>
    <col min="15" max="15" width="12" customWidth="1"/>
    <col min="16" max="17" width="15" customWidth="1"/>
    <col min="18" max="18" width="20" customWidth="1"/>
  </cols>
  <sheetData>
    <row r="1" spans="1:18" ht="29" customHeight="1" x14ac:dyDescent="0.35">
      <c r="A1" s="1" t="s">
        <v>0</v>
      </c>
      <c r="B1" s="1" t="s">
        <v>17</v>
      </c>
      <c r="C1" s="1" t="s">
        <v>1</v>
      </c>
      <c r="D1" s="1" t="s">
        <v>18</v>
      </c>
      <c r="E1" s="1" t="s">
        <v>19</v>
      </c>
      <c r="F1" s="1" t="s">
        <v>20</v>
      </c>
      <c r="G1" s="1" t="s">
        <v>21</v>
      </c>
      <c r="H1" s="1" t="s">
        <v>22</v>
      </c>
      <c r="I1" s="1" t="s">
        <v>23</v>
      </c>
      <c r="J1" s="1" t="s">
        <v>3</v>
      </c>
      <c r="K1" s="1" t="s">
        <v>24</v>
      </c>
      <c r="L1" s="1" t="s">
        <v>25</v>
      </c>
      <c r="M1" s="1" t="s">
        <v>26</v>
      </c>
      <c r="N1" s="1" t="s">
        <v>27</v>
      </c>
      <c r="O1" s="1" t="s">
        <v>28</v>
      </c>
      <c r="P1" s="1" t="s">
        <v>29</v>
      </c>
      <c r="Q1" s="1" t="s">
        <v>30</v>
      </c>
      <c r="R1" s="1"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
  <sheetViews>
    <sheetView workbookViewId="0">
      <selection activeCell="G16" sqref="G16"/>
    </sheetView>
  </sheetViews>
  <sheetFormatPr defaultRowHeight="14.5" x14ac:dyDescent="0.35"/>
  <cols>
    <col min="1" max="1" width="15" customWidth="1"/>
    <col min="2" max="2" width="20" customWidth="1"/>
    <col min="3" max="3" width="18" customWidth="1"/>
    <col min="4" max="6" width="15" customWidth="1"/>
    <col min="7" max="7" width="20" customWidth="1"/>
    <col min="8" max="13" width="12" customWidth="1"/>
    <col min="14" max="14" width="15" customWidth="1"/>
    <col min="15" max="15" width="25" customWidth="1"/>
    <col min="16" max="17" width="15" customWidth="1"/>
  </cols>
  <sheetData>
    <row r="1" spans="1:17" ht="4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
  <sheetViews>
    <sheetView workbookViewId="0">
      <selection activeCell="A2" sqref="A2:XFD9"/>
    </sheetView>
  </sheetViews>
  <sheetFormatPr defaultRowHeight="14.5" x14ac:dyDescent="0.35"/>
  <cols>
    <col min="1" max="3" width="12" customWidth="1"/>
    <col min="4" max="4" width="15" customWidth="1"/>
    <col min="5" max="5" width="20" customWidth="1"/>
    <col min="6" max="6" width="18" customWidth="1"/>
    <col min="7" max="7" width="12" customWidth="1"/>
    <col min="8" max="8" width="20" customWidth="1"/>
    <col min="9" max="9" width="12" customWidth="1"/>
    <col min="10" max="10" width="25" customWidth="1"/>
  </cols>
  <sheetData>
    <row r="1" spans="1:10" x14ac:dyDescent="0.35">
      <c r="A1" s="1"/>
      <c r="B1" s="1"/>
      <c r="C1" s="1"/>
      <c r="D1" s="1"/>
      <c r="E1" s="1"/>
      <c r="F1" s="1"/>
      <c r="G1" s="1"/>
      <c r="H1" s="1"/>
      <c r="I1" s="1"/>
      <c r="J1"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workbookViewId="0">
      <selection activeCell="F19" sqref="F19"/>
    </sheetView>
  </sheetViews>
  <sheetFormatPr defaultRowHeight="14.5" x14ac:dyDescent="0.35"/>
  <cols>
    <col min="1" max="1" width="30" customWidth="1"/>
    <col min="2" max="2" width="20" customWidth="1"/>
  </cols>
  <sheetData>
    <row r="1" spans="1:6" ht="21" customHeight="1" x14ac:dyDescent="0.35">
      <c r="A1" s="15" t="s">
        <v>47</v>
      </c>
      <c r="B1" s="16"/>
      <c r="C1" s="16"/>
      <c r="D1" s="16"/>
      <c r="E1" s="16"/>
      <c r="F1" s="16"/>
    </row>
    <row r="3" spans="1:6" ht="18.5" customHeight="1" x14ac:dyDescent="0.35">
      <c r="A3" s="2" t="s">
        <v>48</v>
      </c>
      <c r="B3" s="3">
        <f>COUNTA('Device Registrations'!A2:A959)</f>
        <v>0</v>
      </c>
    </row>
    <row r="4" spans="1:6" ht="18.5" customHeight="1" x14ac:dyDescent="0.35">
      <c r="A4" s="2" t="s">
        <v>49</v>
      </c>
      <c r="B4" s="3">
        <f>COUNTIF('Device Registrations'!O2:O959,"Pending")</f>
        <v>0</v>
      </c>
    </row>
    <row r="5" spans="1:6" ht="18.5" customHeight="1" x14ac:dyDescent="0.35">
      <c r="A5" s="2" t="s">
        <v>50</v>
      </c>
      <c r="B5" s="3">
        <f>COUNTIF('Device Registrations'!O2:O959,"Approved")</f>
        <v>0</v>
      </c>
    </row>
    <row r="6" spans="1:6" ht="18.5" customHeight="1" x14ac:dyDescent="0.35">
      <c r="A6" s="2" t="s">
        <v>51</v>
      </c>
      <c r="B6" s="3">
        <f>COUNTIF('Device Registrations'!O2:O959,"Rejected")</f>
        <v>0</v>
      </c>
    </row>
    <row r="7" spans="1:6" ht="18.5" customHeight="1" x14ac:dyDescent="0.35">
      <c r="A7" s="2" t="s">
        <v>52</v>
      </c>
      <c r="B7" s="3">
        <f>COUNTA('IT Inspection'!A2:A991)</f>
        <v>0</v>
      </c>
    </row>
    <row r="8" spans="1:6" ht="18.5" customHeight="1" x14ac:dyDescent="0.35">
      <c r="A8" s="2" t="s">
        <v>53</v>
      </c>
      <c r="B8" s="3">
        <f>COUNTIF('IT Inspection'!N2:N991,"Compliant")</f>
        <v>0</v>
      </c>
    </row>
    <row r="9" spans="1:6" ht="18.5" customHeight="1" x14ac:dyDescent="0.35">
      <c r="A9" s="2" t="s">
        <v>54</v>
      </c>
      <c r="B9" s="3">
        <f>COUNTIF('IT Inspection'!N2:N991,"Non-Compliant")</f>
        <v>0</v>
      </c>
    </row>
    <row r="10" spans="1:6" ht="18.5" customHeight="1" x14ac:dyDescent="0.35">
      <c r="A10" s="2" t="s">
        <v>55</v>
      </c>
      <c r="B10" s="3">
        <f>COUNTIF('IT Inspection'!P2:P991,"Yes")</f>
        <v>0</v>
      </c>
    </row>
    <row r="11" spans="1:6" ht="18.5" customHeight="1" x14ac:dyDescent="0.35">
      <c r="A11" s="2" t="s">
        <v>56</v>
      </c>
      <c r="B11" s="3">
        <f ca="1">COUNTIFS('Security Gate Log'!B2:B987,TODAY())</f>
        <v>0</v>
      </c>
    </row>
    <row r="12" spans="1:6" ht="18.5" customHeight="1" x14ac:dyDescent="0.35">
      <c r="A12" s="2" t="s">
        <v>57</v>
      </c>
      <c r="B12" s="3">
        <f ca="1">COUNTIFS('Security Gate Log'!B2:B987,TODAY(),'Security Gate Log'!G2:G987,"Check In")-COUNTIFS('Security Gate Log'!B2:B987,TODAY(),'Security Gate Log'!G2:G987,"Check Out")</f>
        <v>0</v>
      </c>
    </row>
    <row r="15" spans="1:6" ht="15.5" customHeight="1" x14ac:dyDescent="0.35">
      <c r="A15" s="4" t="s">
        <v>58</v>
      </c>
    </row>
    <row r="16" spans="1:6" x14ac:dyDescent="0.35">
      <c r="A16" s="5" t="s">
        <v>18</v>
      </c>
      <c r="B16" s="5" t="s">
        <v>59</v>
      </c>
    </row>
    <row r="17" spans="1:2" x14ac:dyDescent="0.35">
      <c r="A17" t="s">
        <v>45</v>
      </c>
      <c r="B17" s="6">
        <f>COUNTIF('Device Registrations'!D2:D959,"DLCB")</f>
        <v>0</v>
      </c>
    </row>
    <row r="18" spans="1:2" x14ac:dyDescent="0.35">
      <c r="A18" t="s">
        <v>60</v>
      </c>
      <c r="B18" s="6">
        <f>COUNTIF('Device Registrations'!D2:D959,"ITIS")</f>
        <v>0</v>
      </c>
    </row>
    <row r="19" spans="1:2" x14ac:dyDescent="0.35">
      <c r="A19" t="s">
        <v>61</v>
      </c>
      <c r="B19" s="6">
        <f>COUNTIF('Device Registrations'!D2:D959,"Admin")</f>
        <v>0</v>
      </c>
    </row>
    <row r="20" spans="1:2" x14ac:dyDescent="0.35">
      <c r="A20" t="s">
        <v>62</v>
      </c>
      <c r="B20" s="6">
        <f>COUNTIF('Device Registrations'!D2:D959,"Finance")</f>
        <v>0</v>
      </c>
    </row>
    <row r="21" spans="1:2" x14ac:dyDescent="0.35">
      <c r="A21" t="s">
        <v>63</v>
      </c>
      <c r="B21" s="6">
        <f>COUNTIF('Device Registrations'!D2:D959,"HR")</f>
        <v>0</v>
      </c>
    </row>
    <row r="22" spans="1:2" x14ac:dyDescent="0.35">
      <c r="A22" t="s">
        <v>64</v>
      </c>
      <c r="B22" s="6">
        <f>COUNTIF('Device Registrations'!D2:D959,"Legal")</f>
        <v>0</v>
      </c>
    </row>
    <row r="23" spans="1:2" x14ac:dyDescent="0.35">
      <c r="A23" t="s">
        <v>34</v>
      </c>
      <c r="B23" s="6">
        <f>COUNTIF('Device Registrations'!D2:D959,"EGDED")</f>
        <v>0</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election activeCell="B6" sqref="B6"/>
    </sheetView>
  </sheetViews>
  <sheetFormatPr defaultRowHeight="14.5" x14ac:dyDescent="0.35"/>
  <cols>
    <col min="1" max="1" width="30" customWidth="1"/>
    <col min="2" max="2" width="25" customWidth="1"/>
    <col min="3" max="3" width="35" customWidth="1"/>
  </cols>
  <sheetData>
    <row r="1" spans="1:3" ht="18.5" customHeight="1" x14ac:dyDescent="0.45">
      <c r="A1" s="17" t="s">
        <v>65</v>
      </c>
      <c r="B1" s="16"/>
      <c r="C1" s="16"/>
    </row>
    <row r="3" spans="1:3" x14ac:dyDescent="0.35">
      <c r="A3" s="8" t="s">
        <v>66</v>
      </c>
    </row>
    <row r="4" spans="1:3" x14ac:dyDescent="0.35">
      <c r="A4" s="9" t="s">
        <v>67</v>
      </c>
      <c r="B4" s="10" t="s">
        <v>68</v>
      </c>
      <c r="C4" t="s">
        <v>69</v>
      </c>
    </row>
    <row r="5" spans="1:3" x14ac:dyDescent="0.35">
      <c r="A5" s="9" t="s">
        <v>70</v>
      </c>
      <c r="B5" s="14">
        <v>465</v>
      </c>
      <c r="C5" t="s">
        <v>71</v>
      </c>
    </row>
    <row r="6" spans="1:3" x14ac:dyDescent="0.35">
      <c r="A6" s="9" t="s">
        <v>72</v>
      </c>
      <c r="B6" s="13" t="s">
        <v>39</v>
      </c>
      <c r="C6" t="s">
        <v>73</v>
      </c>
    </row>
    <row r="7" spans="1:3" x14ac:dyDescent="0.35">
      <c r="A7" s="8"/>
    </row>
    <row r="8" spans="1:3" x14ac:dyDescent="0.35">
      <c r="A8" s="8" t="s">
        <v>74</v>
      </c>
    </row>
    <row r="9" spans="1:3" x14ac:dyDescent="0.35">
      <c r="A9" s="9" t="s">
        <v>75</v>
      </c>
      <c r="B9" s="10" t="s">
        <v>76</v>
      </c>
      <c r="C9" t="s">
        <v>77</v>
      </c>
    </row>
    <row r="10" spans="1:3" x14ac:dyDescent="0.35">
      <c r="A10" s="9" t="s">
        <v>78</v>
      </c>
      <c r="B10" s="10" t="s">
        <v>79</v>
      </c>
      <c r="C10" t="s">
        <v>80</v>
      </c>
    </row>
    <row r="11" spans="1:3" x14ac:dyDescent="0.35">
      <c r="A11" s="8"/>
    </row>
    <row r="12" spans="1:3" x14ac:dyDescent="0.35">
      <c r="A12" s="8" t="s">
        <v>81</v>
      </c>
    </row>
    <row r="13" spans="1:3" x14ac:dyDescent="0.35">
      <c r="A13" s="9" t="s">
        <v>82</v>
      </c>
      <c r="B13" s="10">
        <v>300</v>
      </c>
      <c r="C13" t="s">
        <v>83</v>
      </c>
    </row>
    <row r="14" spans="1:3" x14ac:dyDescent="0.35">
      <c r="A14" s="9" t="s">
        <v>84</v>
      </c>
      <c r="B14" s="10" t="s">
        <v>85</v>
      </c>
      <c r="C14" t="s">
        <v>86</v>
      </c>
    </row>
    <row r="15" spans="1:3" x14ac:dyDescent="0.35">
      <c r="A15" s="8"/>
    </row>
    <row r="16" spans="1:3" x14ac:dyDescent="0.35">
      <c r="A16" s="8" t="s">
        <v>87</v>
      </c>
    </row>
    <row r="17" spans="1:3" x14ac:dyDescent="0.35">
      <c r="A17" s="9" t="s">
        <v>88</v>
      </c>
      <c r="B17" s="10" t="s">
        <v>89</v>
      </c>
      <c r="C17" t="s">
        <v>90</v>
      </c>
    </row>
    <row r="18" spans="1:3" x14ac:dyDescent="0.35">
      <c r="A18" s="9" t="s">
        <v>91</v>
      </c>
      <c r="B18" s="10" t="s">
        <v>92</v>
      </c>
      <c r="C18" t="s">
        <v>93</v>
      </c>
    </row>
  </sheetData>
  <mergeCells count="1">
    <mergeCell ref="A1:C1"/>
  </mergeCells>
  <hyperlinks>
    <hyperlink ref="B6" r:id="rId1"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tabSelected="1" workbookViewId="0"/>
  </sheetViews>
  <sheetFormatPr defaultRowHeight="14.5" x14ac:dyDescent="0.35"/>
  <cols>
    <col min="1" max="1" width="25" customWidth="1"/>
    <col min="2" max="2" width="40" customWidth="1"/>
    <col min="3" max="3" width="60" customWidth="1"/>
  </cols>
  <sheetData>
    <row r="1" spans="1:3" ht="18.5" customHeight="1" x14ac:dyDescent="0.45">
      <c r="A1" s="7" t="s">
        <v>94</v>
      </c>
    </row>
    <row r="3" spans="1:3" x14ac:dyDescent="0.35">
      <c r="A3" s="11" t="s">
        <v>95</v>
      </c>
      <c r="B3" s="11" t="s">
        <v>96</v>
      </c>
      <c r="C3" s="11" t="s">
        <v>97</v>
      </c>
    </row>
    <row r="4" spans="1:3" ht="150" customHeight="1" x14ac:dyDescent="0.35">
      <c r="A4" s="12" t="s">
        <v>98</v>
      </c>
      <c r="B4" s="12" t="s">
        <v>99</v>
      </c>
      <c r="C4" s="12" t="s">
        <v>100</v>
      </c>
    </row>
    <row r="5" spans="1:3" ht="100" customHeight="1" x14ac:dyDescent="0.35">
      <c r="A5" s="12" t="s">
        <v>101</v>
      </c>
      <c r="B5" s="12" t="s">
        <v>102</v>
      </c>
      <c r="C5" s="12" t="s">
        <v>103</v>
      </c>
    </row>
    <row r="6" spans="1:3" ht="120" customHeight="1" x14ac:dyDescent="0.35">
      <c r="A6" s="12" t="s">
        <v>104</v>
      </c>
      <c r="B6" s="12" t="s">
        <v>105</v>
      </c>
      <c r="C6" s="12" t="s">
        <v>106</v>
      </c>
    </row>
    <row r="7" spans="1:3" ht="150" customHeight="1" x14ac:dyDescent="0.35">
      <c r="A7" s="12" t="s">
        <v>107</v>
      </c>
      <c r="B7" s="12" t="s">
        <v>108</v>
      </c>
      <c r="C7" s="12" t="s">
        <v>109</v>
      </c>
    </row>
    <row r="8" spans="1:3" ht="150" customHeight="1" x14ac:dyDescent="0.35">
      <c r="A8" s="12" t="s">
        <v>110</v>
      </c>
      <c r="B8" s="12" t="s">
        <v>111</v>
      </c>
      <c r="C8" s="12" t="s">
        <v>112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1"/>
  <sheetViews>
    <sheetView workbookViewId="0">
      <selection activeCell="C14" sqref="C14"/>
    </sheetView>
  </sheetViews>
  <sheetFormatPr defaultRowHeight="14.5" x14ac:dyDescent="0.35"/>
  <cols>
    <col min="14" max="14" width="21.90625" bestFit="1" customWidth="1"/>
  </cols>
  <sheetData>
    <row r="1" spans="1:18" x14ac:dyDescent="0.35">
      <c r="A1" t="s">
        <v>32</v>
      </c>
      <c r="B1" t="s">
        <v>113</v>
      </c>
      <c r="C1" t="s">
        <v>33</v>
      </c>
      <c r="D1" t="s">
        <v>34</v>
      </c>
      <c r="F1" t="s">
        <v>35</v>
      </c>
      <c r="G1" t="s">
        <v>36</v>
      </c>
      <c r="H1" t="s">
        <v>37</v>
      </c>
      <c r="I1" t="s">
        <v>114</v>
      </c>
      <c r="J1" t="s">
        <v>114</v>
      </c>
      <c r="K1" t="s">
        <v>76</v>
      </c>
      <c r="L1" t="s">
        <v>40</v>
      </c>
      <c r="M1" t="s">
        <v>115</v>
      </c>
      <c r="N1" t="s">
        <v>41</v>
      </c>
      <c r="O1" t="s">
        <v>42</v>
      </c>
      <c r="R1" t="s">
        <v>43</v>
      </c>
    </row>
    <row r="2" spans="1:18" x14ac:dyDescent="0.35">
      <c r="A2" t="s">
        <v>44</v>
      </c>
      <c r="B2" t="s">
        <v>116</v>
      </c>
      <c r="C2" t="s">
        <v>117</v>
      </c>
      <c r="D2" t="s">
        <v>45</v>
      </c>
      <c r="F2" t="s">
        <v>35</v>
      </c>
      <c r="G2" t="s">
        <v>118</v>
      </c>
      <c r="H2" t="s">
        <v>119</v>
      </c>
      <c r="I2" t="s">
        <v>120</v>
      </c>
      <c r="J2" t="s">
        <v>121</v>
      </c>
      <c r="K2" t="s">
        <v>122</v>
      </c>
      <c r="L2" t="s">
        <v>123</v>
      </c>
      <c r="M2" t="s">
        <v>124</v>
      </c>
      <c r="N2" s="13" t="s">
        <v>125</v>
      </c>
      <c r="O2" t="s">
        <v>42</v>
      </c>
      <c r="R2" t="s">
        <v>43</v>
      </c>
    </row>
    <row r="3" spans="1:18" x14ac:dyDescent="0.35">
      <c r="A3" t="s">
        <v>126</v>
      </c>
      <c r="B3" t="s">
        <v>127</v>
      </c>
      <c r="C3" t="s">
        <v>128</v>
      </c>
      <c r="D3" t="s">
        <v>45</v>
      </c>
      <c r="F3" t="s">
        <v>35</v>
      </c>
      <c r="G3" t="s">
        <v>129</v>
      </c>
      <c r="H3" t="s">
        <v>130</v>
      </c>
      <c r="I3" t="s">
        <v>131</v>
      </c>
      <c r="J3" t="s">
        <v>132</v>
      </c>
      <c r="K3" t="s">
        <v>133</v>
      </c>
      <c r="L3" t="s">
        <v>134</v>
      </c>
      <c r="M3" t="s">
        <v>135</v>
      </c>
      <c r="N3" t="s">
        <v>136</v>
      </c>
      <c r="O3" t="s">
        <v>42</v>
      </c>
      <c r="R3" t="s">
        <v>43</v>
      </c>
    </row>
    <row r="7" spans="1:18" x14ac:dyDescent="0.35">
      <c r="A7" t="s">
        <v>32</v>
      </c>
      <c r="B7" t="s">
        <v>137</v>
      </c>
      <c r="C7" t="s">
        <v>138</v>
      </c>
      <c r="D7" t="s">
        <v>34</v>
      </c>
      <c r="F7" t="s">
        <v>35</v>
      </c>
      <c r="G7" t="s">
        <v>36</v>
      </c>
      <c r="H7" t="s">
        <v>37</v>
      </c>
      <c r="I7" t="s">
        <v>38</v>
      </c>
      <c r="J7" t="s">
        <v>139</v>
      </c>
      <c r="K7" t="s">
        <v>41</v>
      </c>
      <c r="L7" t="s">
        <v>40</v>
      </c>
      <c r="M7" t="s">
        <v>140</v>
      </c>
      <c r="N7" t="s">
        <v>76</v>
      </c>
      <c r="O7" t="s">
        <v>42</v>
      </c>
      <c r="R7" t="s">
        <v>43</v>
      </c>
    </row>
    <row r="8" spans="1:18" x14ac:dyDescent="0.35">
      <c r="A8" t="s">
        <v>44</v>
      </c>
      <c r="B8" t="s">
        <v>141</v>
      </c>
      <c r="C8" t="s">
        <v>142</v>
      </c>
      <c r="D8" t="s">
        <v>143</v>
      </c>
      <c r="F8" t="s">
        <v>35</v>
      </c>
      <c r="G8" t="s">
        <v>36</v>
      </c>
      <c r="H8" t="s">
        <v>37</v>
      </c>
      <c r="I8" t="s">
        <v>144</v>
      </c>
      <c r="J8" t="s">
        <v>145</v>
      </c>
      <c r="K8" t="s">
        <v>76</v>
      </c>
      <c r="L8" t="s">
        <v>146</v>
      </c>
      <c r="M8" t="s">
        <v>147</v>
      </c>
      <c r="N8" t="s">
        <v>41</v>
      </c>
      <c r="O8" t="s">
        <v>42</v>
      </c>
      <c r="R8" t="s">
        <v>43</v>
      </c>
    </row>
    <row r="9" spans="1:18" x14ac:dyDescent="0.35">
      <c r="A9" t="s">
        <v>126</v>
      </c>
      <c r="B9" t="s">
        <v>148</v>
      </c>
      <c r="C9" t="s">
        <v>149</v>
      </c>
      <c r="D9" t="s">
        <v>150</v>
      </c>
      <c r="F9" t="s">
        <v>35</v>
      </c>
      <c r="G9" t="s">
        <v>151</v>
      </c>
      <c r="H9" t="s">
        <v>151</v>
      </c>
      <c r="I9" t="s">
        <v>144</v>
      </c>
      <c r="J9" t="s">
        <v>152</v>
      </c>
      <c r="K9" t="s">
        <v>76</v>
      </c>
      <c r="L9" t="s">
        <v>40</v>
      </c>
      <c r="M9" t="s">
        <v>153</v>
      </c>
      <c r="N9" t="s">
        <v>41</v>
      </c>
      <c r="O9" t="s">
        <v>42</v>
      </c>
      <c r="R9" t="s">
        <v>43</v>
      </c>
    </row>
    <row r="10" spans="1:18" x14ac:dyDescent="0.35">
      <c r="A10" t="s">
        <v>154</v>
      </c>
      <c r="B10" t="s">
        <v>155</v>
      </c>
      <c r="C10" t="s">
        <v>46</v>
      </c>
      <c r="D10" t="s">
        <v>45</v>
      </c>
      <c r="F10" t="s">
        <v>35</v>
      </c>
      <c r="G10" t="s">
        <v>36</v>
      </c>
      <c r="H10" t="s">
        <v>156</v>
      </c>
      <c r="I10" t="s">
        <v>114</v>
      </c>
      <c r="J10" t="s">
        <v>145</v>
      </c>
      <c r="K10" t="s">
        <v>41</v>
      </c>
      <c r="L10" t="s">
        <v>157</v>
      </c>
      <c r="M10" t="s">
        <v>158</v>
      </c>
      <c r="N10" t="s">
        <v>76</v>
      </c>
      <c r="O10" t="s">
        <v>42</v>
      </c>
      <c r="R10" t="s">
        <v>43</v>
      </c>
    </row>
    <row r="11" spans="1:18" x14ac:dyDescent="0.35">
      <c r="A11" t="s">
        <v>159</v>
      </c>
      <c r="B11" t="s">
        <v>160</v>
      </c>
      <c r="C11" t="s">
        <v>161</v>
      </c>
      <c r="D11" t="s">
        <v>150</v>
      </c>
      <c r="F11" t="s">
        <v>35</v>
      </c>
      <c r="G11" t="s">
        <v>36</v>
      </c>
      <c r="H11" t="s">
        <v>37</v>
      </c>
      <c r="I11" t="s">
        <v>152</v>
      </c>
      <c r="J11" t="s">
        <v>144</v>
      </c>
      <c r="K11" t="s">
        <v>41</v>
      </c>
      <c r="L11" t="s">
        <v>40</v>
      </c>
      <c r="M11" t="s">
        <v>162</v>
      </c>
      <c r="N11" t="s">
        <v>39</v>
      </c>
      <c r="O11" t="s">
        <v>42</v>
      </c>
      <c r="R11" t="s">
        <v>43</v>
      </c>
    </row>
  </sheetData>
  <hyperlinks>
    <hyperlink ref="N2" r:id="rId1" xr:uid="{00000000-0004-0000-0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Device Registrations</vt:lpstr>
      <vt:lpstr>IT Inspection</vt:lpstr>
      <vt:lpstr>Security Gate Log</vt:lpstr>
      <vt:lpstr>Dashboard</vt:lpstr>
      <vt:lpstr>Automation Settings</vt:lpstr>
      <vt:lpstr>Email Templates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Abdulhaqq Somoye</cp:lastModifiedBy>
  <dcterms:created xsi:type="dcterms:W3CDTF">2026-02-10T08:27:14Z</dcterms:created>
  <dcterms:modified xsi:type="dcterms:W3CDTF">2026-04-07T09:41:06Z</dcterms:modified>
</cp:coreProperties>
</file>